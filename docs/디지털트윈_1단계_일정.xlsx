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일정" sheetId="2" state="visible" r:id="rId4"/>
    <sheet name="완성기준" sheetId="3" state="visible" r:id="rId5"/>
    <sheet name="범위와 리스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Noto Sans CJK SC"/>
            <family val="2"/>
          </rPr>
          <t xml:space="preserve">가정값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원하는 시작일로 바꾸세요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주말은 자동 제외되며 공휴일은 반영되지 않습니다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<sst xmlns="http://schemas.openxmlformats.org/spreadsheetml/2006/main" count="126" uniqueCount="114">
  <si>
    <r>
      <rPr>
        <b val="true"/>
        <sz val="14"/>
        <color rgb="FF000000"/>
        <rFont val="Noto Sans CJK SC"/>
        <family val="2"/>
      </rPr>
      <t xml:space="preserve">디지털 트윈 포트폴리오 </t>
    </r>
    <r>
      <rPr>
        <b val="true"/>
        <sz val="14"/>
        <color rgb="FF000000"/>
        <rFont val="Arial"/>
        <family val="0"/>
        <charset val="1"/>
      </rPr>
      <t xml:space="preserve">1</t>
    </r>
    <r>
      <rPr>
        <b val="true"/>
        <sz val="14"/>
        <color rgb="FF000000"/>
        <rFont val="Noto Sans CJK SC"/>
        <family val="2"/>
      </rPr>
      <t xml:space="preserve">단계 일정 요약</t>
    </r>
  </si>
  <si>
    <r>
      <rPr>
        <sz val="10"/>
        <color rgb="FF595959"/>
        <rFont val="Noto Sans CJK SC"/>
        <family val="2"/>
      </rPr>
      <t xml:space="preserve">목표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컨베이어 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Noto Sans CJK SC"/>
        <family val="2"/>
      </rPr>
      <t xml:space="preserve">대로 디지털 트윈 파이프라인 전체를 한 바퀴 완주한다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하루 </t>
    </r>
    <r>
      <rPr>
        <sz val="10"/>
        <color rgb="FF595959"/>
        <rFont val="Arial"/>
        <family val="0"/>
        <charset val="1"/>
      </rPr>
      <t xml:space="preserve">6~8</t>
    </r>
    <r>
      <rPr>
        <sz val="10"/>
        <color rgb="FF595959"/>
        <rFont val="Noto Sans CJK SC"/>
        <family val="2"/>
      </rPr>
      <t xml:space="preserve">시간 집중 기준 </t>
    </r>
    <r>
      <rPr>
        <sz val="10"/>
        <color rgb="FF595959"/>
        <rFont val="Arial"/>
        <family val="0"/>
        <charset val="1"/>
      </rPr>
      <t xml:space="preserve">15 </t>
    </r>
    <r>
      <rPr>
        <sz val="10"/>
        <color rgb="FF595959"/>
        <rFont val="Noto Sans CJK SC"/>
        <family val="2"/>
      </rPr>
      <t xml:space="preserve">작업일</t>
    </r>
    <r>
      <rPr>
        <sz val="10"/>
        <color rgb="FF595959"/>
        <rFont val="Arial"/>
        <family val="0"/>
        <charset val="1"/>
      </rPr>
      <t xml:space="preserve">)</t>
    </r>
  </si>
  <si>
    <t xml:space="preserve">항목</t>
  </si>
  <si>
    <t xml:space="preserve">값</t>
  </si>
  <si>
    <t xml:space="preserve">비고</t>
  </si>
  <si>
    <t xml:space="preserve">시작일</t>
  </si>
  <si>
    <t xml:space="preserve">입력</t>
  </si>
  <si>
    <t xml:space="preserve">예상 종료일</t>
  </si>
  <si>
    <t xml:space="preserve">주말 제외 계산</t>
  </si>
  <si>
    <t xml:space="preserve">총 작업일</t>
  </si>
  <si>
    <r>
      <rPr>
        <b val="true"/>
        <sz val="10"/>
        <color rgb="FF000000"/>
        <rFont val="Noto Sans CJK SC"/>
        <family val="2"/>
      </rPr>
      <t xml:space="preserve">핵심 마일스톤 예정일 </t>
    </r>
    <r>
      <rPr>
        <b val="true"/>
        <sz val="10"/>
        <color rgb="FF000000"/>
        <rFont val="Arial"/>
        <family val="0"/>
        <charset val="1"/>
      </rPr>
      <t xml:space="preserve">(9</t>
    </r>
    <r>
      <rPr>
        <b val="true"/>
        <sz val="10"/>
        <color rgb="FF000000"/>
        <rFont val="Noto Sans CJK SC"/>
        <family val="2"/>
      </rPr>
      <t xml:space="preserve">일 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</si>
  <si>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장애 버튼 → 트윈 반응 동작 시점</t>
  </si>
  <si>
    <r>
      <rPr>
        <b val="true"/>
        <sz val="10"/>
        <color rgb="FF000000"/>
        <rFont val="Noto Sans CJK SC"/>
        <family val="2"/>
      </rPr>
      <t xml:space="preserve">전체 진행률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작업일 가중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</si>
  <si>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마일스톤까지 진행률</t>
  </si>
  <si>
    <r>
      <rPr>
        <sz val="10"/>
        <color rgb="FF595959"/>
        <rFont val="Arial"/>
        <family val="0"/>
        <charset val="1"/>
      </rPr>
      <t xml:space="preserve">1~9</t>
    </r>
    <r>
      <rPr>
        <sz val="10"/>
        <color rgb="FF595959"/>
        <rFont val="Noto Sans CJK SC"/>
        <family val="2"/>
      </rPr>
      <t xml:space="preserve">일 차 작업 기준</t>
    </r>
  </si>
  <si>
    <t xml:space="preserve">완료 작업 수</t>
  </si>
  <si>
    <t xml:space="preserve">완성 기준 충족</t>
  </si>
  <si>
    <t xml:space="preserve">사용법</t>
  </si>
  <si>
    <r>
      <rPr>
        <sz val="10"/>
        <color rgb="FF404040"/>
        <rFont val="Noto Sans CJK SC"/>
        <family val="2"/>
      </rPr>
      <t xml:space="preserve">• 노란색 칸이 입력 칸입니다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요약 시트의 시작일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일정 시트의 진행률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완성기준 시트의 완료 여부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</si>
  <si>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Noto Sans CJK SC"/>
        <family val="2"/>
      </rPr>
      <t xml:space="preserve">• 예시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일정 시트에서 진행률에 </t>
    </r>
    <r>
      <rPr>
        <sz val="10"/>
        <color rgb="FF404040"/>
        <rFont val="Arial"/>
        <family val="0"/>
        <charset val="1"/>
      </rPr>
      <t xml:space="preserve">50%</t>
    </r>
    <r>
      <rPr>
        <sz val="10"/>
        <color rgb="FF404040"/>
        <rFont val="Noto Sans CJK SC"/>
        <family val="2"/>
      </rPr>
      <t xml:space="preserve">를 입력하면 상태가 자동으로 </t>
    </r>
    <r>
      <rPr>
        <sz val="10"/>
        <color rgb="FF404040"/>
        <rFont val="Arial"/>
        <family val="0"/>
        <charset val="1"/>
      </rPr>
      <t xml:space="preserve">'</t>
    </r>
    <r>
      <rPr>
        <sz val="10"/>
        <color rgb="FF404040"/>
        <rFont val="Noto Sans CJK SC"/>
        <family val="2"/>
      </rPr>
      <t xml:space="preserve">진행중</t>
    </r>
    <r>
      <rPr>
        <sz val="10"/>
        <color rgb="FF404040"/>
        <rFont val="Arial"/>
        <family val="0"/>
        <charset val="1"/>
      </rPr>
      <t xml:space="preserve">'</t>
    </r>
    <r>
      <rPr>
        <sz val="10"/>
        <color rgb="FF404040"/>
        <rFont val="Noto Sans CJK SC"/>
        <family val="2"/>
      </rPr>
      <t xml:space="preserve">으로</t>
    </r>
    <r>
      <rPr>
        <sz val="10"/>
        <color rgb="FF404040"/>
        <rFont val="Arial"/>
        <family val="0"/>
        <charset val="1"/>
      </rPr>
      <t xml:space="preserve">, 100%</t>
    </r>
    <r>
      <rPr>
        <sz val="10"/>
        <color rgb="FF404040"/>
        <rFont val="Noto Sans CJK SC"/>
        <family val="2"/>
      </rPr>
      <t xml:space="preserve">면 </t>
    </r>
    <r>
      <rPr>
        <sz val="10"/>
        <color rgb="FF404040"/>
        <rFont val="Arial"/>
        <family val="0"/>
        <charset val="1"/>
      </rPr>
      <t xml:space="preserve">'</t>
    </r>
    <r>
      <rPr>
        <sz val="10"/>
        <color rgb="FF404040"/>
        <rFont val="Noto Sans CJK SC"/>
        <family val="2"/>
      </rPr>
      <t xml:space="preserve">완료</t>
    </r>
    <r>
      <rPr>
        <sz val="10"/>
        <color rgb="FF404040"/>
        <rFont val="Arial"/>
        <family val="0"/>
        <charset val="1"/>
      </rPr>
      <t xml:space="preserve">'</t>
    </r>
    <r>
      <rPr>
        <sz val="10"/>
        <color rgb="FF404040"/>
        <rFont val="Noto Sans CJK SC"/>
        <family val="2"/>
      </rPr>
      <t xml:space="preserve">로 바뀝니다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</si>
  <si>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Noto Sans CJK SC"/>
        <family val="2"/>
      </rPr>
      <t xml:space="preserve">• 파란 글씨는 직접 입력한 값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검은 글씨는 수식</t>
    </r>
    <r>
      <rPr>
        <sz val="10"/>
        <color rgb="FF404040"/>
        <rFont val="Arial"/>
        <family val="0"/>
        <charset val="1"/>
      </rPr>
      <t xml:space="preserve">, </t>
    </r>
    <r>
      <rPr>
        <sz val="10"/>
        <color rgb="FF404040"/>
        <rFont val="Noto Sans CJK SC"/>
        <family val="2"/>
      </rPr>
      <t xml:space="preserve">초록 글씨는 다른 시트를 참조하는 수식입니다</t>
    </r>
    <r>
      <rPr>
        <sz val="10"/>
        <color rgb="FF404040"/>
        <rFont val="Arial"/>
        <family val="0"/>
        <charset val="1"/>
      </rPr>
      <t xml:space="preserve">.</t>
    </r>
  </si>
  <si>
    <r>
      <rPr>
        <sz val="10"/>
        <color rgb="FF404040"/>
        <rFont val="Noto Sans CJK SC"/>
        <family val="2"/>
      </rPr>
      <t xml:space="preserve">• 일정 가정</t>
    </r>
    <r>
      <rPr>
        <sz val="10"/>
        <color rgb="FF404040"/>
        <rFont val="Arial"/>
        <family val="0"/>
        <charset val="1"/>
      </rPr>
      <t xml:space="preserve">: </t>
    </r>
    <r>
      <rPr>
        <sz val="10"/>
        <color rgb="FF404040"/>
        <rFont val="Noto Sans CJK SC"/>
        <family val="2"/>
      </rPr>
      <t xml:space="preserve">하루 </t>
    </r>
    <r>
      <rPr>
        <sz val="10"/>
        <color rgb="FF404040"/>
        <rFont val="Arial"/>
        <family val="0"/>
        <charset val="1"/>
      </rPr>
      <t xml:space="preserve">6~8</t>
    </r>
    <r>
      <rPr>
        <sz val="10"/>
        <color rgb="FF404040"/>
        <rFont val="Noto Sans CJK SC"/>
        <family val="2"/>
      </rPr>
      <t xml:space="preserve">시간 집중 기준</t>
    </r>
    <r>
      <rPr>
        <sz val="10"/>
        <color rgb="FF404040"/>
        <rFont val="Arial"/>
        <family val="0"/>
        <charset val="1"/>
      </rPr>
      <t xml:space="preserve">. </t>
    </r>
    <r>
      <rPr>
        <sz val="10"/>
        <color rgb="FF404040"/>
        <rFont val="Noto Sans CJK SC"/>
        <family val="2"/>
      </rPr>
      <t xml:space="preserve">하루 투입이 절반 정도라면 일정 시트의 시작</t>
    </r>
    <r>
      <rPr>
        <sz val="10"/>
        <color rgb="FF404040"/>
        <rFont val="Arial"/>
        <family val="0"/>
        <charset val="1"/>
      </rPr>
      <t xml:space="preserve">·</t>
    </r>
    <r>
      <rPr>
        <sz val="10"/>
        <color rgb="FF404040"/>
        <rFont val="Noto Sans CJK SC"/>
        <family val="2"/>
      </rPr>
      <t xml:space="preserve">종료 일차를 </t>
    </r>
    <r>
      <rPr>
        <sz val="10"/>
        <color rgb="FF404040"/>
        <rFont val="Arial"/>
        <family val="0"/>
        <charset val="1"/>
      </rPr>
      <t xml:space="preserve">2</t>
    </r>
    <r>
      <rPr>
        <sz val="10"/>
        <color rgb="FF404040"/>
        <rFont val="Noto Sans CJK SC"/>
        <family val="2"/>
      </rPr>
      <t xml:space="preserve">배로 늘려 보세요</t>
    </r>
    <r>
      <rPr>
        <sz val="10"/>
        <color rgb="FF404040"/>
        <rFont val="Arial"/>
        <family val="0"/>
        <charset val="1"/>
      </rPr>
      <t xml:space="preserve">.</t>
    </r>
  </si>
  <si>
    <r>
      <rPr>
        <b val="true"/>
        <sz val="14"/>
        <color rgb="FF000000"/>
        <rFont val="Arial"/>
        <family val="0"/>
        <charset val="1"/>
      </rPr>
      <t xml:space="preserve">1</t>
    </r>
    <r>
      <rPr>
        <b val="true"/>
        <sz val="14"/>
        <color rgb="FF000000"/>
        <rFont val="Noto Sans CJK SC"/>
        <family val="2"/>
      </rPr>
      <t xml:space="preserve">단계 </t>
    </r>
    <r>
      <rPr>
        <b val="true"/>
        <sz val="14"/>
        <color rgb="FF000000"/>
        <rFont val="Arial"/>
        <family val="0"/>
        <charset val="1"/>
      </rPr>
      <t xml:space="preserve">3</t>
    </r>
    <r>
      <rPr>
        <b val="true"/>
        <sz val="14"/>
        <color rgb="FF000000"/>
        <rFont val="Noto Sans CJK SC"/>
        <family val="2"/>
      </rPr>
      <t xml:space="preserve">주 일정</t>
    </r>
  </si>
  <si>
    <r>
      <rPr>
        <sz val="10"/>
        <color rgb="FF595959"/>
        <rFont val="Noto Sans CJK SC"/>
        <family val="2"/>
      </rPr>
      <t xml:space="preserve">진행률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노란 칸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만 입력하세요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날짜와 상태는 자동 계산됩니다</t>
    </r>
    <r>
      <rPr>
        <sz val="10"/>
        <color rgb="FF595959"/>
        <rFont val="Arial"/>
        <family val="0"/>
        <charset val="1"/>
      </rPr>
      <t xml:space="preserve">. ★ = </t>
    </r>
    <r>
      <rPr>
        <sz val="10"/>
        <color rgb="FF595959"/>
        <rFont val="Noto Sans CJK SC"/>
        <family val="2"/>
      </rPr>
      <t xml:space="preserve">핵심 마일스톤</t>
    </r>
  </si>
  <si>
    <t xml:space="preserve">No</t>
  </si>
  <si>
    <t xml:space="preserve">주차</t>
  </si>
  <si>
    <t xml:space="preserve">시작 일차</t>
  </si>
  <si>
    <t xml:space="preserve">종료 일차</t>
  </si>
  <si>
    <t xml:space="preserve">소요일</t>
  </si>
  <si>
    <t xml:space="preserve">종료일</t>
  </si>
  <si>
    <t xml:space="preserve">작업</t>
  </si>
  <si>
    <t xml:space="preserve">산출물</t>
  </si>
  <si>
    <t xml:space="preserve">진행률</t>
  </si>
  <si>
    <t xml:space="preserve">상태</t>
  </si>
  <si>
    <t xml:space="preserve">마일스톤</t>
  </si>
  <si>
    <t xml:space="preserve">메모</t>
  </si>
  <si>
    <r>
      <rPr>
        <sz val="10"/>
        <color rgb="FF000000"/>
        <rFont val="Noto Sans CJK SC"/>
        <family val="2"/>
      </rPr>
      <t xml:space="preserve">저장소 구성</t>
    </r>
    <r>
      <rPr>
        <sz val="10"/>
        <color rgb="FF000000"/>
        <rFont val="Arial"/>
        <family val="0"/>
        <charset val="1"/>
      </rPr>
      <t xml:space="preserve">(DummyServer / Twin / Shared), </t>
    </r>
    <r>
      <rPr>
        <sz val="10"/>
        <color rgb="FF000000"/>
        <rFont val="Noto Sans CJK SC"/>
        <family val="2"/>
      </rPr>
      <t xml:space="preserve">토픽과 페이로드 규약 정의</t>
    </r>
  </si>
  <si>
    <r>
      <rPr>
        <sz val="10"/>
        <color rgb="FF000000"/>
        <rFont val="Arial"/>
        <family val="0"/>
        <charset val="1"/>
      </rPr>
      <t xml:space="preserve">Shared </t>
    </r>
    <r>
      <rPr>
        <sz val="10"/>
        <color rgb="FF000000"/>
        <rFont val="Noto Sans CJK SC"/>
        <family val="2"/>
      </rPr>
      <t xml:space="preserve">라이브러리 초안</t>
    </r>
  </si>
  <si>
    <r>
      <rPr>
        <sz val="10"/>
        <color rgb="FF000000"/>
        <rFont val="Arial"/>
        <family val="0"/>
        <charset val="1"/>
      </rPr>
      <t xml:space="preserve">mk STEP </t>
    </r>
    <r>
      <rPr>
        <sz val="10"/>
        <color rgb="FF000000"/>
        <rFont val="Noto Sans CJK SC"/>
        <family val="2"/>
      </rPr>
      <t xml:space="preserve">다운로드</t>
    </r>
    <r>
      <rPr>
        <sz val="10"/>
        <color rgb="FF000000"/>
        <rFont val="Arial"/>
        <family val="0"/>
        <charset val="1"/>
      </rPr>
      <t xml:space="preserve">, FreeCAD </t>
    </r>
    <r>
      <rPr>
        <sz val="10"/>
        <color rgb="FF000000"/>
        <rFont val="Noto Sans CJK SC"/>
        <family val="2"/>
      </rPr>
      <t xml:space="preserve">변환</t>
    </r>
    <r>
      <rPr>
        <sz val="10"/>
        <color rgb="FF000000"/>
        <rFont val="Arial"/>
        <family val="0"/>
        <charset val="1"/>
      </rPr>
      <t xml:space="preserve">, Unity </t>
    </r>
    <r>
      <rPr>
        <sz val="10"/>
        <color rgb="FF000000"/>
        <rFont val="Noto Sans CJK SC"/>
        <family val="2"/>
      </rPr>
      <t xml:space="preserve">임포트와 계층 정리</t>
    </r>
  </si>
  <si>
    <t xml:space="preserve">씬에 배치된 컨베이어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</si>
  <si>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일 초과 시 현재 결과물로 진행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타임박스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</si>
  <si>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WPF </t>
    </r>
    <r>
      <rPr>
        <sz val="10"/>
        <color rgb="FF000000"/>
        <rFont val="Noto Sans CJK SC"/>
        <family val="2"/>
      </rPr>
      <t xml:space="preserve">서버 기본 골격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브로커 내장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정상 데이터 발행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로그 </t>
    </r>
    <r>
      <rPr>
        <sz val="10"/>
        <color rgb="FF000000"/>
        <rFont val="Arial"/>
        <family val="0"/>
        <charset val="1"/>
      </rPr>
      <t xml:space="preserve">UI</t>
    </r>
  </si>
  <si>
    <t xml:space="preserve">데이터를 쏘는 서버</t>
  </si>
  <si>
    <r>
      <rPr>
        <sz val="10"/>
        <color rgb="FF000000"/>
        <rFont val="Noto Sans CJK SC"/>
        <family val="2"/>
      </rPr>
      <t xml:space="preserve">트윈 </t>
    </r>
    <r>
      <rPr>
        <sz val="10"/>
        <color rgb="FF000000"/>
        <rFont val="Arial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수신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벨트 구동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물건 생성과 이동</t>
    </r>
  </si>
  <si>
    <t xml:space="preserve">정상 상태로 돌아가는 트윈</t>
  </si>
  <si>
    <r>
      <rPr>
        <b val="true"/>
        <sz val="11"/>
        <color rgb="FF000000"/>
        <rFont val="Noto Sans CJK SC"/>
        <family val="2"/>
      </rPr>
      <t xml:space="preserve">장애 버튼 구현과 트윈 쪽 대응 로직</t>
    </r>
    <r>
      <rPr>
        <b val="true"/>
        <sz val="11"/>
        <color rgb="FF000000"/>
        <rFont val="Arial"/>
        <family val="0"/>
        <charset val="1"/>
      </rPr>
      <t xml:space="preserve">, </t>
    </r>
    <r>
      <rPr>
        <b val="true"/>
        <sz val="11"/>
        <color rgb="FF000000"/>
        <rFont val="Noto Sans CJK SC"/>
        <family val="2"/>
      </rPr>
      <t xml:space="preserve">잼 판단</t>
    </r>
  </si>
  <si>
    <t xml:space="preserve">장애 시나리오 전체 동작</t>
  </si>
  <si>
    <t xml:space="preserve">★</t>
  </si>
  <si>
    <t xml:space="preserve">여기까지 되면 핵심 증거 확보</t>
  </si>
  <si>
    <r>
      <rPr>
        <sz val="10"/>
        <color rgb="FF000000"/>
        <rFont val="Noto Sans CJK SC"/>
        <family val="2"/>
      </rPr>
      <t xml:space="preserve">상태별 셰이더 하이라이트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알람 표시</t>
    </r>
  </si>
  <si>
    <t xml:space="preserve">장애가 눈에 보이는 트윈</t>
  </si>
  <si>
    <r>
      <rPr>
        <sz val="10"/>
        <color rgb="FF000000"/>
        <rFont val="Arial"/>
        <family val="0"/>
        <charset val="1"/>
      </rPr>
      <t xml:space="preserve">HMI </t>
    </r>
    <r>
      <rPr>
        <sz val="10"/>
        <color rgb="FF000000"/>
        <rFont val="Noto Sans CJK SC"/>
        <family val="2"/>
      </rPr>
      <t xml:space="preserve">대시보드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연결 상태 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서버 자동 실행</t>
    </r>
  </si>
  <si>
    <t xml:space="preserve">완성된 사용자 화면</t>
  </si>
  <si>
    <r>
      <rPr>
        <sz val="10"/>
        <color rgb="FF000000"/>
        <rFont val="Noto Sans CJK SC"/>
        <family val="2"/>
      </rPr>
      <t xml:space="preserve">단일 </t>
    </r>
    <r>
      <rPr>
        <sz val="10"/>
        <color rgb="FF000000"/>
        <rFont val="Arial"/>
        <family val="0"/>
        <charset val="1"/>
      </rPr>
      <t xml:space="preserve">exe </t>
    </r>
    <r>
      <rPr>
        <sz val="10"/>
        <color rgb="FF000000"/>
        <rFont val="Noto Sans CJK SC"/>
        <family val="2"/>
      </rPr>
      <t xml:space="preserve">배포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다른 </t>
    </r>
    <r>
      <rPr>
        <sz val="10"/>
        <color rgb="FF000000"/>
        <rFont val="Arial"/>
        <family val="0"/>
        <charset val="1"/>
      </rPr>
      <t xml:space="preserve">PC</t>
    </r>
    <r>
      <rPr>
        <sz val="10"/>
        <color rgb="FF000000"/>
        <rFont val="Noto Sans CJK SC"/>
        <family val="2"/>
      </rPr>
      <t xml:space="preserve">에서 클린 실행 테스트</t>
    </r>
  </si>
  <si>
    <t xml:space="preserve">배포 가능한 빌드</t>
  </si>
  <si>
    <r>
      <rPr>
        <sz val="10"/>
        <color rgb="FF000000"/>
        <rFont val="Arial"/>
        <family val="0"/>
        <charset val="1"/>
      </rPr>
      <t xml:space="preserve">README, </t>
    </r>
    <r>
      <rPr>
        <sz val="10"/>
        <color rgb="FF000000"/>
        <rFont val="Noto Sans CJK SC"/>
        <family val="2"/>
      </rPr>
      <t xml:space="preserve">아키텍처 구조도 작성</t>
    </r>
  </si>
  <si>
    <t xml:space="preserve">정리된 저장소</t>
  </si>
  <si>
    <r>
      <rPr>
        <sz val="10"/>
        <color rgb="FF000000"/>
        <rFont val="Noto Sans CJK SC"/>
        <family val="2"/>
      </rPr>
      <t xml:space="preserve">시연 대본 작성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영상 촬영과 편집</t>
    </r>
  </si>
  <si>
    <t xml:space="preserve">시연 영상</t>
  </si>
  <si>
    <t xml:space="preserve">정상 → 장애 버튼 → 반응 → 복구 흐름</t>
  </si>
  <si>
    <r>
      <rPr>
        <b val="true"/>
        <sz val="14"/>
        <color rgb="FF000000"/>
        <rFont val="Arial"/>
        <family val="0"/>
        <charset val="1"/>
      </rPr>
      <t xml:space="preserve">1</t>
    </r>
    <r>
      <rPr>
        <b val="true"/>
        <sz val="14"/>
        <color rgb="FF000000"/>
        <rFont val="Noto Sans CJK SC"/>
        <family val="2"/>
      </rPr>
      <t xml:space="preserve">단계 완성 기준</t>
    </r>
  </si>
  <si>
    <r>
      <rPr>
        <sz val="10"/>
        <color rgb="FF595959"/>
        <rFont val="Noto Sans CJK SC"/>
        <family val="2"/>
      </rPr>
      <t xml:space="preserve">모든 항목이 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예</t>
    </r>
    <r>
      <rPr>
        <sz val="10"/>
        <color rgb="FF595959"/>
        <rFont val="Arial"/>
        <family val="0"/>
        <charset val="1"/>
      </rPr>
      <t xml:space="preserve">'</t>
    </r>
    <r>
      <rPr>
        <sz val="10"/>
        <color rgb="FF595959"/>
        <rFont val="Noto Sans CJK SC"/>
        <family val="2"/>
      </rPr>
      <t xml:space="preserve">가 되면 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Noto Sans CJK SC"/>
        <family val="2"/>
      </rPr>
      <t xml:space="preserve">단계 완성입니다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완료 여부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노란 칸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에서 선택하세요</t>
    </r>
    <r>
      <rPr>
        <sz val="10"/>
        <color rgb="FF595959"/>
        <rFont val="Arial"/>
        <family val="0"/>
        <charset val="1"/>
      </rPr>
      <t xml:space="preserve">.</t>
    </r>
  </si>
  <si>
    <t xml:space="preserve">영역</t>
  </si>
  <si>
    <t xml:space="preserve">완성 기준</t>
  </si>
  <si>
    <t xml:space="preserve">완료 여부</t>
  </si>
  <si>
    <t xml:space="preserve">관련 일차</t>
  </si>
  <si>
    <r>
      <rPr>
        <b val="true"/>
        <sz val="10"/>
        <color rgb="FF000000"/>
        <rFont val="Arial"/>
        <family val="0"/>
        <charset val="1"/>
      </rPr>
      <t xml:space="preserve">CAD </t>
    </r>
    <r>
      <rPr>
        <b val="true"/>
        <sz val="10"/>
        <color rgb="FF000000"/>
        <rFont val="Noto Sans CJK SC"/>
        <family val="2"/>
      </rPr>
      <t xml:space="preserve">임포트</t>
    </r>
  </si>
  <si>
    <r>
      <rPr>
        <sz val="10"/>
        <color rgb="FF000000"/>
        <rFont val="Arial"/>
        <family val="0"/>
        <charset val="1"/>
      </rPr>
      <t xml:space="preserve">mk </t>
    </r>
    <r>
      <rPr>
        <sz val="10"/>
        <color rgb="FF000000"/>
        <rFont val="Noto Sans CJK SC"/>
        <family val="2"/>
      </rPr>
      <t xml:space="preserve">벨트 컨베이어 </t>
    </r>
    <r>
      <rPr>
        <sz val="10"/>
        <color rgb="FF000000"/>
        <rFont val="Arial"/>
        <family val="0"/>
        <charset val="1"/>
      </rPr>
      <t xml:space="preserve">STEP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Arial"/>
        <family val="0"/>
        <charset val="1"/>
      </rPr>
      <t xml:space="preserve">FreeCAD → glTF → Unity</t>
    </r>
    <r>
      <rPr>
        <sz val="10"/>
        <color rgb="FF000000"/>
        <rFont val="Noto Sans CJK SC"/>
        <family val="2"/>
      </rPr>
      <t xml:space="preserve">로 가져오고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프레임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벨트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모터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센서 위치로 계층 정리</t>
    </r>
  </si>
  <si>
    <t xml:space="preserve">아니오</t>
  </si>
  <si>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Noto Sans CJK SC"/>
        <family val="2"/>
      </rPr>
      <t xml:space="preserve">일 차</t>
    </r>
  </si>
  <si>
    <t xml:space="preserve">더미 서버</t>
  </si>
  <si>
    <r>
      <rPr>
        <sz val="10"/>
        <color rgb="FF000000"/>
        <rFont val="Arial"/>
        <family val="0"/>
        <charset val="1"/>
      </rPr>
      <t xml:space="preserve">WPF </t>
    </r>
    <r>
      <rPr>
        <sz val="10"/>
        <color rgb="FF000000"/>
        <rFont val="Noto Sans CJK SC"/>
        <family val="2"/>
      </rPr>
      <t xml:space="preserve">앱에 </t>
    </r>
    <r>
      <rPr>
        <sz val="10"/>
        <color rgb="FF000000"/>
        <rFont val="Arial"/>
        <family val="0"/>
        <charset val="1"/>
      </rPr>
      <t xml:space="preserve">MQTT </t>
    </r>
    <r>
      <rPr>
        <sz val="10"/>
        <color rgb="FF000000"/>
        <rFont val="Noto Sans CJK SC"/>
        <family val="2"/>
      </rPr>
      <t xml:space="preserve">브로커 내장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모터 온도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가동 상태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무게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입출구 센서 신호 발행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실시간 송신 로그 표시</t>
    </r>
  </si>
  <si>
    <r>
      <rPr>
        <sz val="10"/>
        <color rgb="FF000000"/>
        <rFont val="Arial"/>
        <family val="0"/>
        <charset val="1"/>
      </rPr>
      <t xml:space="preserve">4~5</t>
    </r>
    <r>
      <rPr>
        <sz val="10"/>
        <color rgb="FF000000"/>
        <rFont val="Noto Sans CJK SC"/>
        <family val="2"/>
      </rPr>
      <t xml:space="preserve">일 차</t>
    </r>
  </si>
  <si>
    <t xml:space="preserve">장애 버튼</t>
  </si>
  <si>
    <r>
      <rPr>
        <sz val="10"/>
        <color rgb="FF000000"/>
        <rFont val="Noto Sans CJK SC"/>
        <family val="2"/>
      </rPr>
      <t xml:space="preserve">연결 끊김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전송 지연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순서 뒤섞기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이상값 송신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물건 걸림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출구 센서 미감지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모터 정지</t>
    </r>
  </si>
  <si>
    <r>
      <rPr>
        <sz val="10"/>
        <color rgb="FF000000"/>
        <rFont val="Arial"/>
        <family val="0"/>
        <charset val="1"/>
      </rPr>
      <t xml:space="preserve">8~9</t>
    </r>
    <r>
      <rPr>
        <sz val="10"/>
        <color rgb="FF000000"/>
        <rFont val="Noto Sans CJK SC"/>
        <family val="2"/>
      </rPr>
      <t xml:space="preserve">일 차</t>
    </r>
  </si>
  <si>
    <t xml:space="preserve">트윈 동작</t>
  </si>
  <si>
    <r>
      <rPr>
        <sz val="10"/>
        <color rgb="FF000000"/>
        <rFont val="Noto Sans CJK SC"/>
        <family val="2"/>
      </rPr>
      <t xml:space="preserve">수신 속도에 맞춰 벨트와 물건 이동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입구 센서 신호로 물건 생성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잼 판단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상태별 셰이더 하이라이트</t>
    </r>
  </si>
  <si>
    <r>
      <rPr>
        <sz val="10"/>
        <color rgb="FF000000"/>
        <rFont val="Arial"/>
        <family val="0"/>
        <charset val="1"/>
      </rPr>
      <t xml:space="preserve">6~10</t>
    </r>
    <r>
      <rPr>
        <sz val="10"/>
        <color rgb="FF000000"/>
        <rFont val="Noto Sans CJK SC"/>
        <family val="2"/>
      </rPr>
      <t xml:space="preserve">일 차</t>
    </r>
  </si>
  <si>
    <t xml:space="preserve">장애 대응</t>
  </si>
  <si>
    <r>
      <rPr>
        <sz val="10"/>
        <color rgb="FF000000"/>
        <rFont val="Arial"/>
        <family val="0"/>
        <charset val="1"/>
      </rPr>
      <t xml:space="preserve">Last Will</t>
    </r>
    <r>
      <rPr>
        <sz val="10"/>
        <color rgb="FF000000"/>
        <rFont val="Noto Sans CJK SC"/>
        <family val="2"/>
      </rPr>
      <t xml:space="preserve">로 끊김 감지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재연결 시 </t>
    </r>
    <r>
      <rPr>
        <sz val="10"/>
        <color rgb="FF000000"/>
        <rFont val="Arial"/>
        <family val="0"/>
        <charset val="1"/>
      </rPr>
      <t xml:space="preserve">Retained</t>
    </r>
    <r>
      <rPr>
        <sz val="10"/>
        <color rgb="FF000000"/>
        <rFont val="Noto Sans CJK SC"/>
        <family val="2"/>
      </rPr>
      <t xml:space="preserve">로 상태 복원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시퀀스 번호로 순서 정렬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이상값 필터링</t>
    </r>
  </si>
  <si>
    <t xml:space="preserve">HMI</t>
  </si>
  <si>
    <r>
      <rPr>
        <sz val="10"/>
        <color rgb="FF000000"/>
        <rFont val="Noto Sans CJK SC"/>
        <family val="2"/>
      </rPr>
      <t xml:space="preserve">속도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온도 게이지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통과 수량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연결 상태 표시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알람 목록</t>
    </r>
  </si>
  <si>
    <r>
      <rPr>
        <sz val="10"/>
        <color rgb="FF000000"/>
        <rFont val="Arial"/>
        <family val="0"/>
        <charset val="1"/>
      </rPr>
      <t xml:space="preserve">11~12</t>
    </r>
    <r>
      <rPr>
        <sz val="10"/>
        <color rgb="FF000000"/>
        <rFont val="Noto Sans CJK SC"/>
        <family val="2"/>
      </rPr>
      <t xml:space="preserve">일 차</t>
    </r>
  </si>
  <si>
    <t xml:space="preserve">배포</t>
  </si>
  <si>
    <r>
      <rPr>
        <sz val="10"/>
        <color rgb="FF000000"/>
        <rFont val="Arial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빌드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트윈이 서버 미실행 감지 시 자동 실행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서버는 단일 </t>
    </r>
    <r>
      <rPr>
        <sz val="10"/>
        <color rgb="FF000000"/>
        <rFont val="Arial"/>
        <family val="0"/>
        <charset val="1"/>
      </rPr>
      <t xml:space="preserve">exe</t>
    </r>
    <r>
      <rPr>
        <sz val="10"/>
        <color rgb="FF000000"/>
        <rFont val="Noto Sans CJK SC"/>
        <family val="2"/>
      </rPr>
      <t xml:space="preserve">로 동봉</t>
    </r>
  </si>
  <si>
    <r>
      <rPr>
        <sz val="10"/>
        <color rgb="FF000000"/>
        <rFont val="Arial"/>
        <family val="0"/>
        <charset val="1"/>
      </rPr>
      <t xml:space="preserve">12~13</t>
    </r>
    <r>
      <rPr>
        <sz val="10"/>
        <color rgb="FF000000"/>
        <rFont val="Noto Sans CJK SC"/>
        <family val="2"/>
      </rPr>
      <t xml:space="preserve">일 차</t>
    </r>
  </si>
  <si>
    <t xml:space="preserve">결과물</t>
  </si>
  <si>
    <r>
      <rPr>
        <sz val="10"/>
        <color rgb="FF000000"/>
        <rFont val="Arial"/>
        <family val="0"/>
        <charset val="1"/>
      </rPr>
      <t xml:space="preserve">2~3</t>
    </r>
    <r>
      <rPr>
        <sz val="10"/>
        <color rgb="FF000000"/>
        <rFont val="Noto Sans CJK SC"/>
        <family val="2"/>
      </rPr>
      <t xml:space="preserve">분 시연 영상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빌드 </t>
    </r>
    <r>
      <rPr>
        <sz val="10"/>
        <color rgb="FF000000"/>
        <rFont val="Arial"/>
        <family val="0"/>
        <charset val="1"/>
      </rPr>
      <t xml:space="preserve">zip, </t>
    </r>
    <r>
      <rPr>
        <sz val="10"/>
        <color rgb="FF000000"/>
        <rFont val="Noto Sans CJK SC"/>
        <family val="2"/>
      </rPr>
      <t xml:space="preserve">저장소</t>
    </r>
    <r>
      <rPr>
        <sz val="10"/>
        <color rgb="FF000000"/>
        <rFont val="Arial"/>
        <family val="0"/>
        <charset val="1"/>
      </rPr>
      <t xml:space="preserve">(README</t>
    </r>
    <r>
      <rPr>
        <sz val="10"/>
        <color rgb="FF000000"/>
        <rFont val="Noto Sans CJK SC"/>
        <family val="2"/>
      </rPr>
      <t xml:space="preserve">에 구조도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페이로드 규약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장애 시나리오</t>
    </r>
    <r>
      <rPr>
        <sz val="10"/>
        <color rgb="FF000000"/>
        <rFont val="Arial"/>
        <family val="0"/>
        <charset val="1"/>
      </rPr>
      <t xml:space="preserve">, CAD </t>
    </r>
    <r>
      <rPr>
        <sz val="10"/>
        <color rgb="FF000000"/>
        <rFont val="Noto Sans CJK SC"/>
        <family val="2"/>
      </rPr>
      <t xml:space="preserve">출처와 라이선스 안내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</si>
  <si>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14~15</t>
    </r>
    <r>
      <rPr>
        <sz val="10"/>
        <color rgb="FF000000"/>
        <rFont val="Noto Sans CJK SC"/>
        <family val="2"/>
      </rPr>
      <t xml:space="preserve">일 차</t>
    </r>
  </si>
  <si>
    <r>
      <rPr>
        <b val="true"/>
        <sz val="14"/>
        <color rgb="FF000000"/>
        <rFont val="Noto Sans CJK SC"/>
        <family val="2"/>
      </rPr>
      <t xml:space="preserve">의도적으로 제외한 범위 </t>
    </r>
    <r>
      <rPr>
        <b val="true"/>
        <sz val="14"/>
        <color rgb="FF000000"/>
        <rFont val="Arial"/>
        <family val="0"/>
        <charset val="1"/>
      </rPr>
      <t xml:space="preserve">(2</t>
    </r>
    <r>
      <rPr>
        <b val="true"/>
        <sz val="14"/>
        <color rgb="FF000000"/>
        <rFont val="Noto Sans CJK SC"/>
        <family val="2"/>
      </rPr>
      <t xml:space="preserve">단계 이후</t>
    </r>
    <r>
      <rPr>
        <b val="true"/>
        <sz val="14"/>
        <color rgb="FF000000"/>
        <rFont val="Arial"/>
        <family val="0"/>
        <charset val="1"/>
      </rPr>
      <t xml:space="preserve">)</t>
    </r>
  </si>
  <si>
    <t xml:space="preserve">제외 항목</t>
  </si>
  <si>
    <t xml:space="preserve">이유</t>
  </si>
  <si>
    <r>
      <rPr>
        <sz val="10"/>
        <color rgb="FF000000"/>
        <rFont val="Noto Sans CJK SC"/>
        <family val="2"/>
      </rPr>
      <t xml:space="preserve">컨베이어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대 이상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</si>
  <si>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대로 파이프라인 완주가 우선</t>
    </r>
  </si>
  <si>
    <t xml:space="preserve">실제 물건 모델</t>
  </si>
  <si>
    <t xml:space="preserve">단순 박스로 대체</t>
  </si>
  <si>
    <r>
      <rPr>
        <sz val="10"/>
        <color rgb="FF000000"/>
        <rFont val="Noto Sans CJK SC"/>
        <family val="2"/>
      </rPr>
      <t xml:space="preserve">카메라 비전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바코드 분류</t>
    </r>
  </si>
  <si>
    <r>
      <rPr>
        <sz val="10"/>
        <color rgb="FF000000"/>
        <rFont val="Noto Sans CJK SC"/>
        <family val="2"/>
      </rPr>
      <t xml:space="preserve">영상 처리와 데이터 매칭 부담</t>
    </r>
    <r>
      <rPr>
        <sz val="10"/>
        <color rgb="FF000000"/>
        <rFont val="Arial"/>
        <family val="0"/>
        <charset val="1"/>
      </rPr>
      <t xml:space="preserve">, 2</t>
    </r>
    <r>
      <rPr>
        <sz val="10"/>
        <color rgb="FF000000"/>
        <rFont val="Noto Sans CJK SC"/>
        <family val="2"/>
      </rPr>
      <t xml:space="preserve">단계 후보</t>
    </r>
  </si>
  <si>
    <t xml:space="preserve">데이터 이력 저장</t>
  </si>
  <si>
    <t xml:space="preserve">실시간 연동 증명에 집중</t>
  </si>
  <si>
    <t xml:space="preserve">웹 빌드</t>
  </si>
  <si>
    <r>
      <rPr>
        <sz val="10"/>
        <color rgb="FF000000"/>
        <rFont val="Noto Sans CJK SC"/>
        <family val="2"/>
      </rPr>
      <t xml:space="preserve">일반 </t>
    </r>
    <r>
      <rPr>
        <sz val="10"/>
        <color rgb="FF000000"/>
        <rFont val="Arial"/>
        <family val="0"/>
        <charset val="1"/>
      </rPr>
      <t xml:space="preserve">TCP </t>
    </r>
    <r>
      <rPr>
        <sz val="10"/>
        <color rgb="FF000000"/>
        <rFont val="Noto Sans CJK SC"/>
        <family val="2"/>
      </rPr>
      <t xml:space="preserve">소켓 사용 불가</t>
    </r>
    <r>
      <rPr>
        <sz val="10"/>
        <color rgb="FF000000"/>
        <rFont val="Arial"/>
        <family val="0"/>
        <charset val="1"/>
      </rPr>
      <t xml:space="preserve">, WebSocket </t>
    </r>
    <r>
      <rPr>
        <sz val="10"/>
        <color rgb="FF000000"/>
        <rFont val="Noto Sans CJK SC"/>
        <family val="2"/>
      </rPr>
      <t xml:space="preserve">경유 필요</t>
    </r>
  </si>
  <si>
    <t xml:space="preserve">OPC UA</t>
  </si>
  <si>
    <r>
      <rPr>
        <sz val="10"/>
        <color rgb="FF000000"/>
        <rFont val="Noto Sans CJK SC"/>
        <family val="2"/>
      </rPr>
      <t xml:space="preserve">학습 부담이 큼</t>
    </r>
    <r>
      <rPr>
        <sz val="10"/>
        <color rgb="FF000000"/>
        <rFont val="Arial"/>
        <family val="0"/>
        <charset val="1"/>
      </rPr>
      <t xml:space="preserve">, 2</t>
    </r>
    <r>
      <rPr>
        <sz val="10"/>
        <color rgb="FF000000"/>
        <rFont val="Noto Sans CJK SC"/>
        <family val="2"/>
      </rPr>
      <t xml:space="preserve">단계 로봇 셀에서 확장</t>
    </r>
  </si>
  <si>
    <t xml:space="preserve">일정 리스크와 대응</t>
  </si>
  <si>
    <r>
      <rPr>
        <b val="true"/>
        <sz val="10"/>
        <color rgb="FFFFFFFF"/>
        <rFont val="Noto Sans CJK SC"/>
        <family val="2"/>
      </rPr>
      <t xml:space="preserve">리스크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포인트</t>
    </r>
  </si>
  <si>
    <t xml:space="preserve">대응</t>
  </si>
  <si>
    <r>
      <rPr>
        <b val="true"/>
        <sz val="10"/>
        <color rgb="FF000000"/>
        <rFont val="Noto Sans CJK SC"/>
        <family val="2"/>
      </rPr>
      <t xml:space="preserve">핵심 마일스톤 </t>
    </r>
    <r>
      <rPr>
        <b val="true"/>
        <sz val="10"/>
        <color rgb="FF000000"/>
        <rFont val="Arial"/>
        <family val="0"/>
        <charset val="1"/>
      </rPr>
      <t xml:space="preserve">(9</t>
    </r>
    <r>
      <rPr>
        <b val="true"/>
        <sz val="10"/>
        <color rgb="FF000000"/>
        <rFont val="Noto Sans CJK SC"/>
        <family val="2"/>
      </rPr>
      <t xml:space="preserve">일 차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</si>
  <si>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장애 버튼 → 트윈 반응이 동작하면 핵심 증거 확보</t>
    </r>
    <r>
      <rPr>
        <sz val="10"/>
        <color rgb="FF000000"/>
        <rFont val="Arial"/>
        <family val="0"/>
        <charset val="1"/>
      </rPr>
      <t xml:space="preserve">. HMI·</t>
    </r>
    <r>
      <rPr>
        <sz val="10"/>
        <color rgb="FF000000"/>
        <rFont val="Noto Sans CJK SC"/>
        <family val="2"/>
      </rPr>
      <t xml:space="preserve">시각 효과는 품질 요소이므로 밀려도 무방</t>
    </r>
  </si>
  <si>
    <r>
      <rPr>
        <b val="true"/>
        <sz val="10"/>
        <color rgb="FF000000"/>
        <rFont val="Arial"/>
        <family val="0"/>
        <charset val="1"/>
      </rPr>
      <t xml:space="preserve">CAD </t>
    </r>
    <r>
      <rPr>
        <b val="true"/>
        <sz val="10"/>
        <color rgb="FF000000"/>
        <rFont val="Noto Sans CJK SC"/>
        <family val="2"/>
      </rPr>
      <t xml:space="preserve">변환 </t>
    </r>
    <r>
      <rPr>
        <b val="true"/>
        <sz val="10"/>
        <color rgb="FF000000"/>
        <rFont val="Arial"/>
        <family val="0"/>
        <charset val="1"/>
      </rPr>
      <t xml:space="preserve">(2~3</t>
    </r>
    <r>
      <rPr>
        <b val="true"/>
        <sz val="10"/>
        <color rgb="FF000000"/>
        <rFont val="Noto Sans CJK SC"/>
        <family val="2"/>
      </rPr>
      <t xml:space="preserve">일 차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</si>
  <si>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가장 큰 불확실성</t>
    </r>
    <r>
      <rPr>
        <sz val="10"/>
        <color rgb="FF000000"/>
        <rFont val="Arial"/>
        <family val="0"/>
        <charset val="1"/>
      </rPr>
      <t xml:space="preserve">. 2</t>
    </r>
    <r>
      <rPr>
        <sz val="10"/>
        <color rgb="FF000000"/>
        <rFont val="Noto Sans CJK SC"/>
        <family val="2"/>
      </rPr>
      <t xml:space="preserve">일을 넘기면 현재 결과물로 진행하고 다듬기는 뒤로 미룸</t>
    </r>
  </si>
  <si>
    <r>
      <rPr>
        <b val="true"/>
        <sz val="10"/>
        <color rgb="FF000000"/>
        <rFont val="Noto Sans CJK SC"/>
        <family val="2"/>
      </rPr>
      <t xml:space="preserve">영상 촬영 </t>
    </r>
    <r>
      <rPr>
        <b val="true"/>
        <sz val="10"/>
        <color rgb="FF000000"/>
        <rFont val="Arial"/>
        <family val="0"/>
        <charset val="1"/>
      </rPr>
      <t xml:space="preserve">(15</t>
    </r>
    <r>
      <rPr>
        <b val="true"/>
        <sz val="10"/>
        <color rgb="FF000000"/>
        <rFont val="Noto Sans CJK SC"/>
        <family val="2"/>
      </rPr>
      <t xml:space="preserve">일 차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</si>
  <si>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대본을 미리 정해두면 하루에 끝남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정상 가동 → 장애 버튼 → 트윈 반응 → 복구를 장애 유형별로 시연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</si>
</sst>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&quot; (&quot;AAA\)"/>
    <numFmt numFmtId="166" formatCode="0\일"/>
    <numFmt numFmtId="167" formatCode="0%"/>
    <numFmt numFmtId="168" formatCode="mm\-dd&quot; (&quot;AAA\)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4"/>
      <color rgb="FF000000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04040"/>
      <name val="Noto Sans CJK SC"/>
      <family val="2"/>
    </font>
    <font>
      <sz val="10"/>
      <color rgb="FF40404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Noto Sans CJK SC"/>
      <family val="2"/>
    </font>
    <font>
      <sz val="10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ill>
        <patternFill>
          <bgColor rgb="FFFDE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61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46315</v>
      </c>
      <c r="C4" s="6" t="s">
        <v>6</v>
      </c>
    </row>
    <row r="5" customFormat="false" ht="15" hidden="false" customHeight="false" outlineLevel="0" collapsed="false">
      <c r="A5" s="4" t="s">
        <v>7</v>
      </c>
      <c r="B5" s="7" t="n">
        <f aca="false">MAX(일정!G5:G14)</f>
        <v>46335</v>
      </c>
      <c r="C5" s="6" t="s">
        <v>8</v>
      </c>
    </row>
    <row r="6" customFormat="false" ht="15" hidden="false" customHeight="false" outlineLevel="0" collapsed="false">
      <c r="A6" s="4" t="s">
        <v>9</v>
      </c>
      <c r="B6" s="8" t="n">
        <f aca="false">SUM(일정!E5:E14)</f>
        <v>15</v>
      </c>
      <c r="C6" s="6"/>
    </row>
    <row r="7" customFormat="false" ht="15" hidden="false" customHeight="false" outlineLevel="0" collapsed="false">
      <c r="A7" s="4" t="s">
        <v>10</v>
      </c>
      <c r="B7" s="7" t="n">
        <f aca="false">WORKDAY(B4,8)</f>
        <v>46325</v>
      </c>
      <c r="C7" s="6" t="s">
        <v>11</v>
      </c>
    </row>
    <row r="8" customFormat="false" ht="15" hidden="false" customHeight="false" outlineLevel="0" collapsed="false">
      <c r="A8" s="4" t="s">
        <v>12</v>
      </c>
      <c r="B8" s="9" t="n">
        <f aca="false">IFERROR(SUMPRODUCT(일정!E5:E14,일정!J5:J14)/SUM(일정!E5:E14),0)</f>
        <v>0</v>
      </c>
      <c r="C8" s="6"/>
    </row>
    <row r="9" customFormat="false" ht="15" hidden="false" customHeight="false" outlineLevel="0" collapsed="false">
      <c r="A9" s="4" t="s">
        <v>13</v>
      </c>
      <c r="B9" s="9" t="n">
        <f aca="false">IFERROR(SUMPRODUCT((일정!D5:D14&lt;=9)*일정!E5:E14*일정!J5:J14)/SUMIF(일정!D5:D14,"&lt;=9",일정!E5:E14),0)</f>
        <v>0</v>
      </c>
      <c r="C9" s="10" t="s">
        <v>14</v>
      </c>
    </row>
    <row r="10" customFormat="false" ht="15" hidden="false" customHeight="false" outlineLevel="0" collapsed="false">
      <c r="A10" s="4" t="s">
        <v>15</v>
      </c>
      <c r="B10" s="11" t="str">
        <f aca="false">COUNTIF(일정!K5:K14,"완료")&amp;" / "&amp;COUNTA(일정!H5:H14)</f>
        <v>0 / 10</v>
      </c>
      <c r="C10" s="6"/>
    </row>
    <row r="11" customFormat="false" ht="15" hidden="false" customHeight="false" outlineLevel="0" collapsed="false">
      <c r="A11" s="4" t="s">
        <v>16</v>
      </c>
      <c r="B11" s="11" t="str">
        <f aca="false">COUNTIF(완성기준!D5:D12,"예")&amp;" / "&amp;COUNTA(완성기준!B5:B12)</f>
        <v>0 / 8</v>
      </c>
      <c r="C11" s="6"/>
    </row>
    <row r="13" customFormat="false" ht="15" hidden="false" customHeight="false" outlineLevel="0" collapsed="false">
      <c r="A13" s="12" t="s">
        <v>17</v>
      </c>
    </row>
    <row r="14" customFormat="false" ht="15" hidden="false" customHeight="false" outlineLevel="0" collapsed="false">
      <c r="A14" s="13" t="s">
        <v>18</v>
      </c>
    </row>
    <row r="15" customFormat="false" ht="15" hidden="false" customHeight="false" outlineLevel="0" collapsed="false">
      <c r="A15" s="13" t="s">
        <v>19</v>
      </c>
    </row>
    <row r="16" customFormat="false" ht="15" hidden="false" customHeight="false" outlineLevel="0" collapsed="false">
      <c r="A16" s="13" t="s">
        <v>20</v>
      </c>
    </row>
    <row r="17" customFormat="false" ht="15" hidden="false" customHeight="false" outlineLevel="0" collapsed="false">
      <c r="A17" s="1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8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46"/>
    <col collapsed="false" customWidth="true" hidden="false" outlineLevel="0" max="9" min="9" style="0" width="24"/>
    <col collapsed="false" customWidth="true" hidden="false" outlineLevel="0" max="10" min="10" style="0" width="8"/>
    <col collapsed="false" customWidth="true" hidden="false" outlineLevel="0" max="12" min="11" style="0" width="9"/>
    <col collapsed="false" customWidth="true" hidden="false" outlineLevel="0" max="13" min="13" style="0" width="30"/>
  </cols>
  <sheetData>
    <row r="1" customFormat="false" ht="21.6" hidden="false" customHeight="false" outlineLevel="0" collapsed="false">
      <c r="A1" s="14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1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5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</row>
    <row r="5" customFormat="false" ht="29.85" hidden="false" customHeight="false" outlineLevel="0" collapsed="false">
      <c r="A5" s="16" t="n">
        <v>1</v>
      </c>
      <c r="B5" s="16" t="str">
        <f aca="false">INT((C5-1)/5)+1&amp;"주 차"</f>
        <v>1주 차</v>
      </c>
      <c r="C5" s="17" t="n">
        <v>1</v>
      </c>
      <c r="D5" s="17" t="n">
        <v>1</v>
      </c>
      <c r="E5" s="18" t="n">
        <f aca="false">D5-C5+1</f>
        <v>1</v>
      </c>
      <c r="F5" s="19" t="n">
        <f aca="false">WORKDAY(요약!$B$4,C5-1)</f>
        <v>46315</v>
      </c>
      <c r="G5" s="19" t="n">
        <f aca="false">WORKDAY(요약!$B$4,D5-1)</f>
        <v>46315</v>
      </c>
      <c r="H5" s="20" t="s">
        <v>36</v>
      </c>
      <c r="I5" s="21" t="s">
        <v>37</v>
      </c>
      <c r="J5" s="22" t="n">
        <v>0</v>
      </c>
      <c r="K5" s="23" t="str">
        <f aca="false">IF(J5&gt;=1,"완료",IF(J5&gt;0,"진행중","대기"))</f>
        <v>대기</v>
      </c>
      <c r="L5" s="16"/>
      <c r="M5" s="21"/>
    </row>
    <row r="6" customFormat="false" ht="29.85" hidden="false" customHeight="false" outlineLevel="0" collapsed="false">
      <c r="A6" s="16" t="n">
        <v>2</v>
      </c>
      <c r="B6" s="16" t="str">
        <f aca="false">INT((C6-1)/5)+1&amp;"주 차"</f>
        <v>1주 차</v>
      </c>
      <c r="C6" s="17" t="n">
        <v>2</v>
      </c>
      <c r="D6" s="17" t="n">
        <v>3</v>
      </c>
      <c r="E6" s="18" t="n">
        <f aca="false">D6-C6+1</f>
        <v>2</v>
      </c>
      <c r="F6" s="19" t="n">
        <f aca="false">WORKDAY(요약!$B$4,C6-1)</f>
        <v>46316</v>
      </c>
      <c r="G6" s="19" t="n">
        <f aca="false">WORKDAY(요약!$B$4,D6-1)</f>
        <v>46317</v>
      </c>
      <c r="H6" s="21" t="s">
        <v>38</v>
      </c>
      <c r="I6" s="20" t="s">
        <v>39</v>
      </c>
      <c r="J6" s="22" t="n">
        <v>0</v>
      </c>
      <c r="K6" s="23" t="str">
        <f aca="false">IF(J6&gt;=1,"완료",IF(J6&gt;0,"진행중","대기"))</f>
        <v>대기</v>
      </c>
      <c r="L6" s="16"/>
      <c r="M6" s="21" t="s">
        <v>40</v>
      </c>
    </row>
    <row r="7" customFormat="false" ht="15" hidden="false" customHeight="false" outlineLevel="0" collapsed="false">
      <c r="A7" s="16" t="n">
        <v>3</v>
      </c>
      <c r="B7" s="16" t="str">
        <f aca="false">INT((C7-1)/5)+1&amp;"주 차"</f>
        <v>1주 차</v>
      </c>
      <c r="C7" s="17" t="n">
        <v>4</v>
      </c>
      <c r="D7" s="17" t="n">
        <v>5</v>
      </c>
      <c r="E7" s="18" t="n">
        <f aca="false">D7-C7+1</f>
        <v>2</v>
      </c>
      <c r="F7" s="19" t="n">
        <f aca="false">WORKDAY(요약!$B$4,C7-1)</f>
        <v>46318</v>
      </c>
      <c r="G7" s="19" t="n">
        <f aca="false">WORKDAY(요약!$B$4,D7-1)</f>
        <v>46321</v>
      </c>
      <c r="H7" s="21" t="s">
        <v>41</v>
      </c>
      <c r="I7" s="20" t="s">
        <v>42</v>
      </c>
      <c r="J7" s="22" t="n">
        <v>0</v>
      </c>
      <c r="K7" s="23" t="str">
        <f aca="false">IF(J7&gt;=1,"완료",IF(J7&gt;0,"진행중","대기"))</f>
        <v>대기</v>
      </c>
      <c r="L7" s="16"/>
      <c r="M7" s="21"/>
    </row>
    <row r="8" customFormat="false" ht="15" hidden="false" customHeight="false" outlineLevel="0" collapsed="false">
      <c r="A8" s="16" t="n">
        <v>4</v>
      </c>
      <c r="B8" s="16" t="str">
        <f aca="false">INT((C8-1)/5)+1&amp;"주 차"</f>
        <v>2주 차</v>
      </c>
      <c r="C8" s="17" t="n">
        <v>6</v>
      </c>
      <c r="D8" s="17" t="n">
        <v>7</v>
      </c>
      <c r="E8" s="18" t="n">
        <f aca="false">D8-C8+1</f>
        <v>2</v>
      </c>
      <c r="F8" s="19" t="n">
        <f aca="false">WORKDAY(요약!$B$4,C8-1)</f>
        <v>46322</v>
      </c>
      <c r="G8" s="19" t="n">
        <f aca="false">WORKDAY(요약!$B$4,D8-1)</f>
        <v>46323</v>
      </c>
      <c r="H8" s="20" t="s">
        <v>43</v>
      </c>
      <c r="I8" s="20" t="s">
        <v>44</v>
      </c>
      <c r="J8" s="22" t="n">
        <v>0</v>
      </c>
      <c r="K8" s="23" t="str">
        <f aca="false">IF(J8&gt;=1,"완료",IF(J8&gt;0,"진행중","대기"))</f>
        <v>대기</v>
      </c>
      <c r="L8" s="16"/>
      <c r="M8" s="21"/>
    </row>
    <row r="9" customFormat="false" ht="17.15" hidden="false" customHeight="false" outlineLevel="0" collapsed="false">
      <c r="A9" s="24" t="n">
        <v>5</v>
      </c>
      <c r="B9" s="24" t="str">
        <f aca="false">INT((C9-1)/5)+1&amp;"주 차"</f>
        <v>2주 차</v>
      </c>
      <c r="C9" s="25" t="n">
        <v>8</v>
      </c>
      <c r="D9" s="25" t="n">
        <v>9</v>
      </c>
      <c r="E9" s="26" t="n">
        <f aca="false">D9-C9+1</f>
        <v>2</v>
      </c>
      <c r="F9" s="27" t="n">
        <f aca="false">WORKDAY(요약!$B$4,C9-1)</f>
        <v>46324</v>
      </c>
      <c r="G9" s="27" t="n">
        <f aca="false">WORKDAY(요약!$B$4,D9-1)</f>
        <v>46325</v>
      </c>
      <c r="H9" s="28" t="s">
        <v>45</v>
      </c>
      <c r="I9" s="28" t="s">
        <v>46</v>
      </c>
      <c r="J9" s="29" t="n">
        <v>0</v>
      </c>
      <c r="K9" s="30" t="str">
        <f aca="false">IF(J9&gt;=1,"완료",IF(J9&gt;0,"진행중","대기"))</f>
        <v>대기</v>
      </c>
      <c r="L9" s="24" t="s">
        <v>47</v>
      </c>
      <c r="M9" s="28" t="s">
        <v>48</v>
      </c>
    </row>
    <row r="10" customFormat="false" ht="15" hidden="false" customHeight="false" outlineLevel="0" collapsed="false">
      <c r="A10" s="16" t="n">
        <v>6</v>
      </c>
      <c r="B10" s="16" t="str">
        <f aca="false">INT((C10-1)/5)+1&amp;"주 차"</f>
        <v>2주 차</v>
      </c>
      <c r="C10" s="17" t="n">
        <v>10</v>
      </c>
      <c r="D10" s="17" t="n">
        <v>10</v>
      </c>
      <c r="E10" s="18" t="n">
        <f aca="false">D10-C10+1</f>
        <v>1</v>
      </c>
      <c r="F10" s="19" t="n">
        <f aca="false">WORKDAY(요약!$B$4,C10-1)</f>
        <v>46328</v>
      </c>
      <c r="G10" s="19" t="n">
        <f aca="false">WORKDAY(요약!$B$4,D10-1)</f>
        <v>46328</v>
      </c>
      <c r="H10" s="20" t="s">
        <v>49</v>
      </c>
      <c r="I10" s="20" t="s">
        <v>50</v>
      </c>
      <c r="J10" s="22" t="n">
        <v>0</v>
      </c>
      <c r="K10" s="23" t="str">
        <f aca="false">IF(J10&gt;=1,"완료",IF(J10&gt;0,"진행중","대기"))</f>
        <v>대기</v>
      </c>
      <c r="L10" s="16"/>
      <c r="M10" s="21"/>
    </row>
    <row r="11" customFormat="false" ht="15" hidden="false" customHeight="false" outlineLevel="0" collapsed="false">
      <c r="A11" s="16" t="n">
        <v>7</v>
      </c>
      <c r="B11" s="16" t="str">
        <f aca="false">INT((C11-1)/5)+1&amp;"주 차"</f>
        <v>3주 차</v>
      </c>
      <c r="C11" s="17" t="n">
        <v>11</v>
      </c>
      <c r="D11" s="17" t="n">
        <v>12</v>
      </c>
      <c r="E11" s="18" t="n">
        <f aca="false">D11-C11+1</f>
        <v>2</v>
      </c>
      <c r="F11" s="19" t="n">
        <f aca="false">WORKDAY(요약!$B$4,C11-1)</f>
        <v>46329</v>
      </c>
      <c r="G11" s="19" t="n">
        <f aca="false">WORKDAY(요약!$B$4,D11-1)</f>
        <v>46330</v>
      </c>
      <c r="H11" s="21" t="s">
        <v>51</v>
      </c>
      <c r="I11" s="20" t="s">
        <v>52</v>
      </c>
      <c r="J11" s="22" t="n">
        <v>0</v>
      </c>
      <c r="K11" s="23" t="str">
        <f aca="false">IF(J11&gt;=1,"완료",IF(J11&gt;0,"진행중","대기"))</f>
        <v>대기</v>
      </c>
      <c r="L11" s="16"/>
      <c r="M11" s="21"/>
    </row>
    <row r="12" customFormat="false" ht="15" hidden="false" customHeight="false" outlineLevel="0" collapsed="false">
      <c r="A12" s="16" t="n">
        <v>8</v>
      </c>
      <c r="B12" s="16" t="str">
        <f aca="false">INT((C12-1)/5)+1&amp;"주 차"</f>
        <v>3주 차</v>
      </c>
      <c r="C12" s="17" t="n">
        <v>13</v>
      </c>
      <c r="D12" s="17" t="n">
        <v>13</v>
      </c>
      <c r="E12" s="18" t="n">
        <f aca="false">D12-C12+1</f>
        <v>1</v>
      </c>
      <c r="F12" s="19" t="n">
        <f aca="false">WORKDAY(요약!$B$4,C12-1)</f>
        <v>46331</v>
      </c>
      <c r="G12" s="19" t="n">
        <f aca="false">WORKDAY(요약!$B$4,D12-1)</f>
        <v>46331</v>
      </c>
      <c r="H12" s="20" t="s">
        <v>53</v>
      </c>
      <c r="I12" s="20" t="s">
        <v>54</v>
      </c>
      <c r="J12" s="22" t="n">
        <v>0</v>
      </c>
      <c r="K12" s="23" t="str">
        <f aca="false">IF(J12&gt;=1,"완료",IF(J12&gt;0,"진행중","대기"))</f>
        <v>대기</v>
      </c>
      <c r="L12" s="16"/>
      <c r="M12" s="21"/>
    </row>
    <row r="13" customFormat="false" ht="15" hidden="false" customHeight="false" outlineLevel="0" collapsed="false">
      <c r="A13" s="16" t="n">
        <v>9</v>
      </c>
      <c r="B13" s="16" t="str">
        <f aca="false">INT((C13-1)/5)+1&amp;"주 차"</f>
        <v>3주 차</v>
      </c>
      <c r="C13" s="17" t="n">
        <v>14</v>
      </c>
      <c r="D13" s="17" t="n">
        <v>14</v>
      </c>
      <c r="E13" s="18" t="n">
        <f aca="false">D13-C13+1</f>
        <v>1</v>
      </c>
      <c r="F13" s="19" t="n">
        <f aca="false">WORKDAY(요약!$B$4,C13-1)</f>
        <v>46332</v>
      </c>
      <c r="G13" s="19" t="n">
        <f aca="false">WORKDAY(요약!$B$4,D13-1)</f>
        <v>46332</v>
      </c>
      <c r="H13" s="21" t="s">
        <v>55</v>
      </c>
      <c r="I13" s="20" t="s">
        <v>56</v>
      </c>
      <c r="J13" s="22" t="n">
        <v>0</v>
      </c>
      <c r="K13" s="23" t="str">
        <f aca="false">IF(J13&gt;=1,"완료",IF(J13&gt;0,"진행중","대기"))</f>
        <v>대기</v>
      </c>
      <c r="L13" s="16"/>
      <c r="M13" s="21"/>
    </row>
    <row r="14" customFormat="false" ht="15" hidden="false" customHeight="false" outlineLevel="0" collapsed="false">
      <c r="A14" s="16" t="n">
        <v>10</v>
      </c>
      <c r="B14" s="16" t="str">
        <f aca="false">INT((C14-1)/5)+1&amp;"주 차"</f>
        <v>3주 차</v>
      </c>
      <c r="C14" s="17" t="n">
        <v>15</v>
      </c>
      <c r="D14" s="17" t="n">
        <v>15</v>
      </c>
      <c r="E14" s="18" t="n">
        <f aca="false">D14-C14+1</f>
        <v>1</v>
      </c>
      <c r="F14" s="19" t="n">
        <f aca="false">WORKDAY(요약!$B$4,C14-1)</f>
        <v>46335</v>
      </c>
      <c r="G14" s="19" t="n">
        <f aca="false">WORKDAY(요약!$B$4,D14-1)</f>
        <v>46335</v>
      </c>
      <c r="H14" s="20" t="s">
        <v>57</v>
      </c>
      <c r="I14" s="20" t="s">
        <v>58</v>
      </c>
      <c r="J14" s="22" t="n">
        <v>0</v>
      </c>
      <c r="K14" s="23" t="str">
        <f aca="false">IF(J14&gt;=1,"완료",IF(J14&gt;0,"진행중","대기"))</f>
        <v>대기</v>
      </c>
      <c r="L14" s="16"/>
      <c r="M14" s="20" t="s">
        <v>59</v>
      </c>
    </row>
  </sheetData>
  <conditionalFormatting sqref="K5:K14">
    <cfRule type="cellIs" priority="2" operator="equal" aboveAverage="0" equalAverage="0" bottom="0" percent="0" rank="0" text="" dxfId="0">
      <formula>"완료"</formula>
    </cfRule>
    <cfRule type="cellIs" priority="3" operator="equal" aboveAverage="0" equalAverage="0" bottom="0" percent="0" rank="0" text="" dxfId="1">
      <formula>"진행중"</formula>
    </cfRule>
  </conditionalFormatting>
  <conditionalFormatting sqref="A5:M14">
    <cfRule type="expression" priority="4" aboveAverage="0" equalAverage="0" bottom="0" percent="0" rank="0" text="" dxfId="2">
      <formula>$L5="★"</formula>
    </cfRule>
  </conditionalFormatting>
  <dataValidations count="1">
    <dataValidation allowBlank="false" error="0%~100% 사이로 입력하세요." errorStyle="stop" errorTitle="입력 오류" operator="between" showDropDown="false" showErrorMessage="true" showInputMessage="false" sqref="J5:J1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4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15" t="s">
        <v>24</v>
      </c>
      <c r="B4" s="3" t="s">
        <v>62</v>
      </c>
      <c r="C4" s="3" t="s">
        <v>63</v>
      </c>
      <c r="D4" s="3" t="s">
        <v>64</v>
      </c>
      <c r="E4" s="3" t="s">
        <v>65</v>
      </c>
    </row>
    <row r="5" customFormat="false" ht="29.85" hidden="false" customHeight="false" outlineLevel="0" collapsed="false">
      <c r="A5" s="16" t="n">
        <v>1</v>
      </c>
      <c r="B5" s="31" t="s">
        <v>66</v>
      </c>
      <c r="C5" s="21" t="s">
        <v>67</v>
      </c>
      <c r="D5" s="32" t="s">
        <v>68</v>
      </c>
      <c r="E5" s="16" t="s">
        <v>69</v>
      </c>
    </row>
    <row r="6" customFormat="false" ht="29.85" hidden="false" customHeight="false" outlineLevel="0" collapsed="false">
      <c r="A6" s="16" t="n">
        <v>2</v>
      </c>
      <c r="B6" s="33" t="s">
        <v>70</v>
      </c>
      <c r="C6" s="21" t="s">
        <v>71</v>
      </c>
      <c r="D6" s="32" t="s">
        <v>68</v>
      </c>
      <c r="E6" s="16" t="s">
        <v>72</v>
      </c>
    </row>
    <row r="7" customFormat="false" ht="15" hidden="false" customHeight="false" outlineLevel="0" collapsed="false">
      <c r="A7" s="16" t="n">
        <v>3</v>
      </c>
      <c r="B7" s="33" t="s">
        <v>73</v>
      </c>
      <c r="C7" s="20" t="s">
        <v>74</v>
      </c>
      <c r="D7" s="32" t="s">
        <v>68</v>
      </c>
      <c r="E7" s="16" t="s">
        <v>75</v>
      </c>
    </row>
    <row r="8" customFormat="false" ht="29.85" hidden="false" customHeight="false" outlineLevel="0" collapsed="false">
      <c r="A8" s="16" t="n">
        <v>4</v>
      </c>
      <c r="B8" s="33" t="s">
        <v>76</v>
      </c>
      <c r="C8" s="20" t="s">
        <v>77</v>
      </c>
      <c r="D8" s="32" t="s">
        <v>68</v>
      </c>
      <c r="E8" s="16" t="s">
        <v>78</v>
      </c>
    </row>
    <row r="9" customFormat="false" ht="29.85" hidden="false" customHeight="false" outlineLevel="0" collapsed="false">
      <c r="A9" s="16" t="n">
        <v>5</v>
      </c>
      <c r="B9" s="33" t="s">
        <v>79</v>
      </c>
      <c r="C9" s="21" t="s">
        <v>80</v>
      </c>
      <c r="D9" s="32" t="s">
        <v>68</v>
      </c>
      <c r="E9" s="16" t="s">
        <v>75</v>
      </c>
    </row>
    <row r="10" customFormat="false" ht="15" hidden="false" customHeight="false" outlineLevel="0" collapsed="false">
      <c r="A10" s="16" t="n">
        <v>6</v>
      </c>
      <c r="B10" s="31" t="s">
        <v>81</v>
      </c>
      <c r="C10" s="20" t="s">
        <v>82</v>
      </c>
      <c r="D10" s="32" t="s">
        <v>68</v>
      </c>
      <c r="E10" s="16" t="s">
        <v>83</v>
      </c>
    </row>
    <row r="11" customFormat="false" ht="15" hidden="false" customHeight="false" outlineLevel="0" collapsed="false">
      <c r="A11" s="16" t="n">
        <v>7</v>
      </c>
      <c r="B11" s="33" t="s">
        <v>84</v>
      </c>
      <c r="C11" s="21" t="s">
        <v>85</v>
      </c>
      <c r="D11" s="32" t="s">
        <v>68</v>
      </c>
      <c r="E11" s="16" t="s">
        <v>86</v>
      </c>
    </row>
    <row r="12" customFormat="false" ht="29.85" hidden="false" customHeight="false" outlineLevel="0" collapsed="false">
      <c r="A12" s="16" t="n">
        <v>8</v>
      </c>
      <c r="B12" s="33" t="s">
        <v>87</v>
      </c>
      <c r="C12" s="21" t="s">
        <v>88</v>
      </c>
      <c r="D12" s="32" t="s">
        <v>68</v>
      </c>
      <c r="E12" s="16" t="s">
        <v>89</v>
      </c>
    </row>
  </sheetData>
  <conditionalFormatting sqref="D5:D12">
    <cfRule type="cellIs" priority="2" operator="equal" aboveAverage="0" equalAverage="0" bottom="0" percent="0" rank="0" text="" dxfId="0">
      <formula>"예"</formula>
    </cfRule>
  </conditionalFormatting>
  <dataValidations count="1">
    <dataValidation allowBlank="false" errorStyle="stop" operator="between" showDropDown="false" showErrorMessage="false" showInputMessage="false" sqref="D5:D12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0"/>
  </cols>
  <sheetData>
    <row r="1" customFormat="false" ht="21.6" hidden="false" customHeight="false" outlineLevel="0" collapsed="false">
      <c r="A1" s="1" t="s">
        <v>90</v>
      </c>
    </row>
    <row r="3" customFormat="false" ht="15" hidden="false" customHeight="false" outlineLevel="0" collapsed="false">
      <c r="A3" s="15" t="s">
        <v>24</v>
      </c>
      <c r="B3" s="3" t="s">
        <v>91</v>
      </c>
      <c r="C3" s="3" t="s">
        <v>92</v>
      </c>
    </row>
    <row r="4" customFormat="false" ht="15" hidden="false" customHeight="false" outlineLevel="0" collapsed="false">
      <c r="A4" s="16" t="n">
        <v>1</v>
      </c>
      <c r="B4" s="20" t="s">
        <v>93</v>
      </c>
      <c r="C4" s="21" t="s">
        <v>94</v>
      </c>
    </row>
    <row r="5" customFormat="false" ht="15" hidden="false" customHeight="false" outlineLevel="0" collapsed="false">
      <c r="A5" s="16" t="n">
        <v>2</v>
      </c>
      <c r="B5" s="20" t="s">
        <v>95</v>
      </c>
      <c r="C5" s="20" t="s">
        <v>96</v>
      </c>
    </row>
    <row r="6" customFormat="false" ht="15" hidden="false" customHeight="false" outlineLevel="0" collapsed="false">
      <c r="A6" s="16" t="n">
        <v>3</v>
      </c>
      <c r="B6" s="20" t="s">
        <v>97</v>
      </c>
      <c r="C6" s="20" t="s">
        <v>98</v>
      </c>
    </row>
    <row r="7" customFormat="false" ht="15" hidden="false" customHeight="false" outlineLevel="0" collapsed="false">
      <c r="A7" s="16" t="n">
        <v>4</v>
      </c>
      <c r="B7" s="20" t="s">
        <v>99</v>
      </c>
      <c r="C7" s="20" t="s">
        <v>100</v>
      </c>
    </row>
    <row r="8" customFormat="false" ht="15" hidden="false" customHeight="false" outlineLevel="0" collapsed="false">
      <c r="A8" s="16" t="n">
        <v>5</v>
      </c>
      <c r="B8" s="20" t="s">
        <v>101</v>
      </c>
      <c r="C8" s="20" t="s">
        <v>102</v>
      </c>
    </row>
    <row r="9" customFormat="false" ht="15" hidden="false" customHeight="false" outlineLevel="0" collapsed="false">
      <c r="A9" s="16" t="n">
        <v>6</v>
      </c>
      <c r="B9" s="21" t="s">
        <v>103</v>
      </c>
      <c r="C9" s="20" t="s">
        <v>104</v>
      </c>
    </row>
    <row r="12" customFormat="false" ht="17.35" hidden="false" customHeight="false" outlineLevel="0" collapsed="false">
      <c r="A12" s="1" t="s">
        <v>105</v>
      </c>
    </row>
    <row r="14" customFormat="false" ht="15" hidden="false" customHeight="false" outlineLevel="0" collapsed="false">
      <c r="A14" s="15" t="s">
        <v>24</v>
      </c>
      <c r="B14" s="3" t="s">
        <v>106</v>
      </c>
      <c r="C14" s="3" t="s">
        <v>107</v>
      </c>
    </row>
    <row r="15" customFormat="false" ht="15" hidden="false" customHeight="false" outlineLevel="0" collapsed="false">
      <c r="A15" s="16" t="n">
        <v>1</v>
      </c>
      <c r="B15" s="33" t="s">
        <v>108</v>
      </c>
      <c r="C15" s="20" t="s">
        <v>109</v>
      </c>
    </row>
    <row r="16" customFormat="false" ht="15" hidden="false" customHeight="false" outlineLevel="0" collapsed="false">
      <c r="A16" s="16" t="n">
        <v>2</v>
      </c>
      <c r="B16" s="31" t="s">
        <v>110</v>
      </c>
      <c r="C16" s="20" t="s">
        <v>111</v>
      </c>
    </row>
    <row r="17" customFormat="false" ht="15" hidden="false" customHeight="false" outlineLevel="0" collapsed="false">
      <c r="A17" s="16" t="n">
        <v>3</v>
      </c>
      <c r="B17" s="33" t="s">
        <v>112</v>
      </c>
      <c r="C17" s="2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2026-10-19T15:01:20Z</dcterms:created>
  <dc:creator>openpyxl</dc:creator>
  <dc:description/>
  <dc:language>en-US</dc:language>
  <cp:lastModifiedBy/>
  <dcterms:modified xsi:type="dcterms:W3CDTF">2026-10-19T15:01:20Z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